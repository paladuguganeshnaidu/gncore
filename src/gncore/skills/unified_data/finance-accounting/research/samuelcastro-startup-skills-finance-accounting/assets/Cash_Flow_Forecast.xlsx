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Cash Flow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<sst xmlns="http://schemas.openxmlformats.org/spreadsheetml/2006/main" count="59" uniqueCount="59">
  <si>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13-WEEK CASH FLOW FORECAST</t>
  </si>
  <si>
    <t xml:space="preserve">Category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</si>
  <si>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</si>
  <si>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</si>
  <si>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</si>
  <si>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</si>
  <si>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</si>
  <si>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</si>
  <si>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</si>
  <si>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</si>
  <si>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</si>
  <si>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</si>
  <si>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</si>
  <si>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</si>
  <si>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</si>
  <si>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Beginning Cash</t>
  </si>
  <si>
    <t xml:space="preserve">OPERATING RECEIPTS</t>
  </si>
  <si>
    <t xml:space="preserve">Customer Collections</t>
  </si>
  <si>
    <t xml:space="preserve">Other Receipts</t>
  </si>
  <si>
    <t xml:space="preserve">Total Receipts</t>
  </si>
  <si>
    <t xml:space="preserve">OPERATING DISBURSEMENTS</t>
  </si>
  <si>
    <t xml:space="preserve">Payroll &amp; Benefits</t>
  </si>
  <si>
    <t xml:space="preserve">Rent &amp; Facilities</t>
  </si>
  <si>
    <t xml:space="preserve">Software &amp; Tools</t>
  </si>
  <si>
    <t xml:space="preserve">Marketing &amp; Advertising</t>
  </si>
  <si>
    <t xml:space="preserve">Professional Services</t>
  </si>
  <si>
    <t xml:space="preserve">Other Operating</t>
  </si>
  <si>
    <t xml:space="preserve">Total Disbursements</t>
  </si>
  <si>
    <t xml:space="preserve">Net Operating Cash Flow</t>
  </si>
  <si>
    <t xml:space="preserve">FINANCING</t>
  </si>
  <si>
    <t xml:space="preserve">Equity Investment</t>
  </si>
  <si>
    <t xml:space="preserve">Debt Proceeds</t>
  </si>
  <si>
    <t xml:space="preserve">Debt Payments</t>
  </si>
  <si>
    <t xml:space="preserve">Total Financing</t>
  </si>
  <si>
    <t xml:space="preserve">Ending Cash</t>
  </si>
  <si>
    <t xml:space="preserve">RUNWAY CALCULATION</t>
  </si>
  <si>
    <t xml:space="preserve">Avg Weekly Burn</t>
  </si>
  <si>
    <t xml:space="preserve">Weeks of Runway</t>
  </si>
  <si>
    <t xml:space="preserve">13-WEEK CASH FLOW FORECAST - INSTRUCTIONS</t>
  </si>
  <si>
    <t xml:space="preserve">PURPOSE:</t>
  </si>
  <si>
    <t xml:space="preserve">Track weekly cash inflows and outflows to forecast your runway</t>
  </si>
  <si>
    <t xml:space="preserve">HOW TO USE:</t>
  </si>
  <si>
    <t xml:space="preserve">1. Enter your starting cash balance in Week 1, Row 4</t>
  </si>
  <si>
    <t xml:space="preserve">2. Enter expected receipts (blue cells) for each week</t>
  </si>
  <si>
    <t xml:space="preserve">3. Enter expected disbursements (blue cells) for each week</t>
  </si>
  <si>
    <t xml:space="preserve">4. Formulas automatically calculate totals and ending cash</t>
  </si>
  <si>
    <t xml:space="preserve">5. Week-to-week beginning cash pulls from prior week ending</t>
  </si>
  <si>
    <t xml:space="preserve">TIPS:</t>
  </si>
  <si>
    <t xml:space="preserve">- Update weekly with actual results</t>
  </si>
  <si>
    <t xml:space="preserve">- Blue cells = inputs you can change</t>
  </si>
  <si>
    <t xml:space="preserve">- Black cells = formulas (don't edit)</t>
  </si>
  <si>
    <t xml:space="preserve">- Review Avg Weekly Burn and Weeks of Runway at bottom</t>
  </si>
  <si>
    <t xml:space="preserve">CATEGORIES:</t>
  </si>
  <si>
    <t xml:space="preserve">- Customer Collections: Expected payments from customers</t>
  </si>
  <si>
    <t xml:space="preserve">- Payroll &amp; Benefits: All employee compensation</t>
  </si>
  <si>
    <t xml:space="preserve">- Rent &amp; Facilities: Office, coworking, utilities</t>
  </si>
  <si>
    <t xml:space="preserve">- Software &amp; Tools: SaaS subscriptions</t>
  </si>
  <si>
    <t xml:space="preserve">- Marketing: Paid ads, events, content</t>
  </si>
  <si>
    <t xml:space="preserve">- Professional Services: Legal, accounting, consulting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</si>
</sst>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500000</v>
      </c>
      <c r="C4" s="5" t="n">
        <f aca="false">B28</f>
        <v>465000</v>
      </c>
      <c r="D4" s="5" t="n">
        <f aca="false">C28</f>
        <v>465000</v>
      </c>
      <c r="E4" s="5" t="n">
        <f aca="false">D28</f>
        <v>465000</v>
      </c>
      <c r="F4" s="5" t="n">
        <f aca="false">E28</f>
        <v>465000</v>
      </c>
      <c r="G4" s="5" t="n">
        <f aca="false">F28</f>
        <v>465000</v>
      </c>
      <c r="H4" s="5" t="n">
        <f aca="false">G28</f>
        <v>465000</v>
      </c>
      <c r="I4" s="5" t="n">
        <f aca="false">H28</f>
        <v>465000</v>
      </c>
      <c r="J4" s="5" t="n">
        <f aca="false">I28</f>
        <v>465000</v>
      </c>
      <c r="K4" s="5" t="n">
        <f aca="false">J28</f>
        <v>465000</v>
      </c>
      <c r="L4" s="5" t="n">
        <f aca="false">K28</f>
        <v>465000</v>
      </c>
      <c r="M4" s="5" t="n">
        <f aca="false">L28</f>
        <v>465000</v>
      </c>
      <c r="N4" s="5" t="n">
        <f aca="false">M28</f>
        <v>465000</v>
      </c>
    </row>
    <row r="6" customFormat="false" ht="15" hidden="false" customHeight="false" outlineLevel="0" collapsed="false">
      <c r="A6" s="3" t="s">
        <v>16</v>
      </c>
    </row>
    <row r="7" customFormat="false" ht="15" hidden="false" customHeight="false" outlineLevel="0" collapsed="false">
      <c r="A7" s="0" t="s">
        <v>17</v>
      </c>
      <c r="B7" s="4" t="n">
        <v>50000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 customFormat="false" ht="15" hidden="false" customHeight="false" outlineLevel="0" collapsed="false">
      <c r="A8" s="0" t="s">
        <v>18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</row>
    <row r="9" customFormat="false" ht="15" hidden="false" customHeight="false" outlineLevel="0" collapsed="false">
      <c r="A9" s="6" t="s">
        <v>19</v>
      </c>
      <c r="B9" s="7" t="n">
        <f aca="false">B7+B8</f>
        <v>50000</v>
      </c>
      <c r="C9" s="7" t="n">
        <f aca="false">C7+C8</f>
        <v>0</v>
      </c>
      <c r="D9" s="7" t="n">
        <f aca="false">D7+D8</f>
        <v>0</v>
      </c>
      <c r="E9" s="7" t="n">
        <f aca="false">E7+E8</f>
        <v>0</v>
      </c>
      <c r="F9" s="7" t="n">
        <f aca="false">F7+F8</f>
        <v>0</v>
      </c>
      <c r="G9" s="7" t="n">
        <f aca="false">G7+G8</f>
        <v>0</v>
      </c>
      <c r="H9" s="7" t="n">
        <f aca="false">H7+H8</f>
        <v>0</v>
      </c>
      <c r="I9" s="7" t="n">
        <f aca="false">I7+I8</f>
        <v>0</v>
      </c>
      <c r="J9" s="7" t="n">
        <f aca="false">J7+J8</f>
        <v>0</v>
      </c>
      <c r="K9" s="7" t="n">
        <f aca="false">K7+K8</f>
        <v>0</v>
      </c>
      <c r="L9" s="7" t="n">
        <f aca="false">L7+L8</f>
        <v>0</v>
      </c>
      <c r="M9" s="7" t="n">
        <f aca="false">M7+M8</f>
        <v>0</v>
      </c>
      <c r="N9" s="7" t="n">
        <f aca="false">N7+N8</f>
        <v>0</v>
      </c>
    </row>
    <row r="11" customFormat="false" ht="15" hidden="false" customHeight="false" outlineLevel="0" collapsed="false">
      <c r="A11" s="3" t="s">
        <v>20</v>
      </c>
    </row>
    <row r="12" customFormat="false" ht="15" hidden="false" customHeight="false" outlineLevel="0" collapsed="false">
      <c r="A12" s="0" t="s">
        <v>21</v>
      </c>
      <c r="B12" s="4" t="n">
        <v>60000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 customFormat="false" ht="15" hidden="false" customHeight="false" outlineLevel="0" collapsed="false">
      <c r="A13" s="0" t="s">
        <v>22</v>
      </c>
      <c r="B13" s="4" t="n">
        <v>5000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</row>
    <row r="14" customFormat="false" ht="15" hidden="false" customHeight="false" outlineLevel="0" collapsed="false">
      <c r="A14" s="0" t="s">
        <v>23</v>
      </c>
      <c r="B14" s="4" t="n">
        <v>3000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</row>
    <row r="15" customFormat="false" ht="15" hidden="false" customHeight="false" outlineLevel="0" collapsed="false">
      <c r="A15" s="0" t="s">
        <v>24</v>
      </c>
      <c r="B15" s="4" t="n">
        <v>10000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</row>
    <row r="16" customFormat="false" ht="15" hidden="false" customHeight="false" outlineLevel="0" collapsed="false">
      <c r="A16" s="0" t="s">
        <v>25</v>
      </c>
      <c r="B16" s="4" t="n">
        <v>2000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</row>
    <row r="17" customFormat="false" ht="15" hidden="false" customHeight="false" outlineLevel="0" collapsed="false">
      <c r="A17" s="0" t="s">
        <v>26</v>
      </c>
      <c r="B17" s="4" t="n">
        <v>5000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 customFormat="false" ht="15" hidden="false" customHeight="false" outlineLevel="0" collapsed="false">
      <c r="A18" s="6" t="s">
        <v>27</v>
      </c>
      <c r="B18" s="7" t="n">
        <f aca="false">SUM(B12:B17)</f>
        <v>85000</v>
      </c>
      <c r="C18" s="7" t="n">
        <f aca="false">SUM(C12:C17)</f>
        <v>0</v>
      </c>
      <c r="D18" s="7" t="n">
        <f aca="false">SUM(D12:D17)</f>
        <v>0</v>
      </c>
      <c r="E18" s="7" t="n">
        <f aca="false">SUM(E12:E17)</f>
        <v>0</v>
      </c>
      <c r="F18" s="7" t="n">
        <f aca="false">SUM(F12:F17)</f>
        <v>0</v>
      </c>
      <c r="G18" s="7" t="n">
        <f aca="false">SUM(G12:G17)</f>
        <v>0</v>
      </c>
      <c r="H18" s="7" t="n">
        <f aca="false">SUM(H12:H17)</f>
        <v>0</v>
      </c>
      <c r="I18" s="7" t="n">
        <f aca="false">SUM(I12:I17)</f>
        <v>0</v>
      </c>
      <c r="J18" s="7" t="n">
        <f aca="false">SUM(J12:J17)</f>
        <v>0</v>
      </c>
      <c r="K18" s="7" t="n">
        <f aca="false">SUM(K12:K17)</f>
        <v>0</v>
      </c>
      <c r="L18" s="7" t="n">
        <f aca="false">SUM(L12:L17)</f>
        <v>0</v>
      </c>
      <c r="M18" s="7" t="n">
        <f aca="false">SUM(M12:M17)</f>
        <v>0</v>
      </c>
      <c r="N18" s="7" t="n">
        <f aca="false">SUM(N12:N17)</f>
        <v>0</v>
      </c>
    </row>
    <row r="20" customFormat="false" ht="15" hidden="false" customHeight="false" outlineLevel="0" collapsed="false">
      <c r="A20" s="6" t="s">
        <v>28</v>
      </c>
      <c r="B20" s="7" t="n">
        <f aca="false">B9-B18</f>
        <v>-35000</v>
      </c>
      <c r="C20" s="7" t="n">
        <f aca="false">C9-C18</f>
        <v>0</v>
      </c>
      <c r="D20" s="7" t="n">
        <f aca="false">D9-D18</f>
        <v>0</v>
      </c>
      <c r="E20" s="7" t="n">
        <f aca="false">E9-E18</f>
        <v>0</v>
      </c>
      <c r="F20" s="7" t="n">
        <f aca="false">F9-F18</f>
        <v>0</v>
      </c>
      <c r="G20" s="7" t="n">
        <f aca="false">G9-G18</f>
        <v>0</v>
      </c>
      <c r="H20" s="7" t="n">
        <f aca="false">H9-H18</f>
        <v>0</v>
      </c>
      <c r="I20" s="7" t="n">
        <f aca="false">I9-I18</f>
        <v>0</v>
      </c>
      <c r="J20" s="7" t="n">
        <f aca="false">J9-J18</f>
        <v>0</v>
      </c>
      <c r="K20" s="7" t="n">
        <f aca="false">K9-K18</f>
        <v>0</v>
      </c>
      <c r="L20" s="7" t="n">
        <f aca="false">L9-L18</f>
        <v>0</v>
      </c>
      <c r="M20" s="7" t="n">
        <f aca="false">M9-M18</f>
        <v>0</v>
      </c>
      <c r="N20" s="7" t="n">
        <f aca="false">N9-N18</f>
        <v>0</v>
      </c>
    </row>
    <row r="22" customFormat="false" ht="15" hidden="false" customHeight="false" outlineLevel="0" collapsed="false">
      <c r="A22" s="3" t="s">
        <v>29</v>
      </c>
    </row>
    <row r="23" customFormat="false" ht="15" hidden="false" customHeight="false" outlineLevel="0" collapsed="false">
      <c r="A23" s="0" t="s">
        <v>30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</row>
    <row r="24" customFormat="false" ht="15" hidden="false" customHeight="false" outlineLevel="0" collapsed="false">
      <c r="A24" s="0" t="s">
        <v>31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</row>
    <row r="25" customFormat="false" ht="15" hidden="false" customHeight="false" outlineLevel="0" collapsed="false">
      <c r="A25" s="0" t="s">
        <v>32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</row>
    <row r="26" customFormat="false" ht="15" hidden="false" customHeight="false" outlineLevel="0" collapsed="false">
      <c r="A26" s="6" t="s">
        <v>33</v>
      </c>
      <c r="B26" s="7" t="n">
        <f aca="false">B23+B24-B25</f>
        <v>0</v>
      </c>
      <c r="C26" s="7" t="n">
        <f aca="false">C23+C24-C25</f>
        <v>0</v>
      </c>
      <c r="D26" s="7" t="n">
        <f aca="false">D23+D24-D25</f>
        <v>0</v>
      </c>
      <c r="E26" s="7" t="n">
        <f aca="false">E23+E24-E25</f>
        <v>0</v>
      </c>
      <c r="F26" s="7" t="n">
        <f aca="false">F23+F24-F25</f>
        <v>0</v>
      </c>
      <c r="G26" s="7" t="n">
        <f aca="false">G23+G24-G25</f>
        <v>0</v>
      </c>
      <c r="H26" s="7" t="n">
        <f aca="false">H23+H24-H25</f>
        <v>0</v>
      </c>
      <c r="I26" s="7" t="n">
        <f aca="false">I23+I24-I25</f>
        <v>0</v>
      </c>
      <c r="J26" s="7" t="n">
        <f aca="false">J23+J24-J25</f>
        <v>0</v>
      </c>
      <c r="K26" s="7" t="n">
        <f aca="false">K23+K24-K25</f>
        <v>0</v>
      </c>
      <c r="L26" s="7" t="n">
        <f aca="false">L23+L24-L25</f>
        <v>0</v>
      </c>
      <c r="M26" s="7" t="n">
        <f aca="false">M23+M24-M25</f>
        <v>0</v>
      </c>
      <c r="N26" s="7" t="n">
        <f aca="false">N23+N24-N25</f>
        <v>0</v>
      </c>
    </row>
    <row r="28" customFormat="false" ht="15" hidden="false" customHeight="false" outlineLevel="0" collapsed="false">
      <c r="A28" s="6" t="s">
        <v>34</v>
      </c>
      <c r="B28" s="7" t="n">
        <f aca="false">B4+B20+B26</f>
        <v>465000</v>
      </c>
      <c r="C28" s="7" t="n">
        <f aca="false">C4+C20+C26</f>
        <v>465000</v>
      </c>
      <c r="D28" s="7" t="n">
        <f aca="false">D4+D20+D26</f>
        <v>465000</v>
      </c>
      <c r="E28" s="7" t="n">
        <f aca="false">E4+E20+E26</f>
        <v>465000</v>
      </c>
      <c r="F28" s="7" t="n">
        <f aca="false">F4+F20+F26</f>
        <v>465000</v>
      </c>
      <c r="G28" s="7" t="n">
        <f aca="false">G4+G20+G26</f>
        <v>465000</v>
      </c>
      <c r="H28" s="7" t="n">
        <f aca="false">H4+H20+H26</f>
        <v>465000</v>
      </c>
      <c r="I28" s="7" t="n">
        <f aca="false">I4+I20+I26</f>
        <v>465000</v>
      </c>
      <c r="J28" s="7" t="n">
        <f aca="false">J4+J20+J26</f>
        <v>465000</v>
      </c>
      <c r="K28" s="7" t="n">
        <f aca="false">K4+K20+K26</f>
        <v>465000</v>
      </c>
      <c r="L28" s="7" t="n">
        <f aca="false">L4+L20+L26</f>
        <v>465000</v>
      </c>
      <c r="M28" s="7" t="n">
        <f aca="false">M4+M20+M26</f>
        <v>465000</v>
      </c>
      <c r="N28" s="7" t="n">
        <f aca="false">N4+N20+N26</f>
        <v>465000</v>
      </c>
    </row>
    <row r="30" customFormat="false" ht="15" hidden="false" customHeight="false" outlineLevel="0" collapsed="false">
      <c r="A30" s="3" t="s">
        <v>35</v>
      </c>
    </row>
    <row r="31" customFormat="false" ht="15" hidden="false" customHeight="false" outlineLevel="0" collapsed="false">
      <c r="A31" s="0" t="s">
        <v>36</v>
      </c>
      <c r="B31" s="5" t="n">
        <f aca="false">AVERAGE(B20:N20)</f>
        <v>-2692.30769230769</v>
      </c>
    </row>
    <row r="32" customFormat="false" ht="15" hidden="false" customHeight="false" outlineLevel="0" collapsed="false">
      <c r="A32" s="0" t="s">
        <v>37</v>
      </c>
      <c r="B32" s="8" t="n">
        <f aca="false">IF(B31&lt;0,N28/ABS(B31),"N/A")</f>
        <v>172.714285714286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9" t="s">
        <v>38</v>
      </c>
    </row>
    <row r="3" customFormat="false" ht="15" hidden="false" customHeight="false" outlineLevel="0" collapsed="false">
      <c r="A3" s="0" t="s">
        <v>39</v>
      </c>
    </row>
    <row r="4" customFormat="false" ht="15" hidden="false" customHeight="false" outlineLevel="0" collapsed="false">
      <c r="A4" s="0" t="s">
        <v>40</v>
      </c>
    </row>
    <row r="6" customFormat="false" ht="15" hidden="false" customHeight="false" outlineLevel="0" collapsed="false">
      <c r="A6" s="0" t="s">
        <v>41</v>
      </c>
    </row>
    <row r="7" customFormat="false" ht="15" hidden="false" customHeight="false" outlineLevel="0" collapsed="false">
      <c r="A7" s="0" t="s">
        <v>42</v>
      </c>
    </row>
    <row r="8" customFormat="false" ht="15" hidden="false" customHeight="false" outlineLevel="0" collapsed="false">
      <c r="A8" s="0" t="s">
        <v>43</v>
      </c>
    </row>
    <row r="9" customFormat="false" ht="15" hidden="false" customHeight="false" outlineLevel="0" collapsed="false">
      <c r="A9" s="0" t="s">
        <v>44</v>
      </c>
    </row>
    <row r="10" customFormat="false" ht="15" hidden="false" customHeight="false" outlineLevel="0" collapsed="false">
      <c r="A10" s="0" t="s">
        <v>45</v>
      </c>
    </row>
    <row r="11" customFormat="false" ht="15" hidden="false" customHeight="false" outlineLevel="0" collapsed="false">
      <c r="A11" s="0" t="s">
        <v>46</v>
      </c>
    </row>
    <row r="13" customFormat="false" ht="15" hidden="false" customHeight="false" outlineLevel="0" collapsed="false">
      <c r="A13" s="0" t="s">
        <v>47</v>
      </c>
    </row>
    <row r="14" customFormat="false" ht="15" hidden="false" customHeight="false" outlineLevel="0" collapsed="false">
      <c r="A14" s="0" t="s">
        <v>48</v>
      </c>
    </row>
    <row r="15" customFormat="false" ht="15" hidden="false" customHeight="false" outlineLevel="0" collapsed="false">
      <c r="A15" s="0" t="s">
        <v>49</v>
      </c>
    </row>
    <row r="16" customFormat="false" ht="15" hidden="false" customHeight="false" outlineLevel="0" collapsed="false">
      <c r="A16" s="0" t="s">
        <v>50</v>
      </c>
    </row>
    <row r="17" customFormat="false" ht="15" hidden="false" customHeight="false" outlineLevel="0" collapsed="false">
      <c r="A17" s="0" t="s">
        <v>51</v>
      </c>
    </row>
    <row r="19" customFormat="false" ht="15" hidden="false" customHeight="false" outlineLevel="0" collapsed="false">
      <c r="A19" s="0" t="s">
        <v>52</v>
      </c>
    </row>
    <row r="20" customFormat="false" ht="15" hidden="false" customHeight="false" outlineLevel="0" collapsed="false">
      <c r="A20" s="0" t="s">
        <v>53</v>
      </c>
    </row>
    <row r="21" customFormat="false" ht="15" hidden="false" customHeight="false" outlineLevel="0" collapsed="false">
      <c r="A21" s="0" t="s">
        <v>54</v>
      </c>
    </row>
    <row r="22" customFormat="false" ht="15" hidden="false" customHeight="false" outlineLevel="0" collapsed="false">
      <c r="A22" s="0" t="s">
        <v>55</v>
      </c>
    </row>
    <row r="23" customFormat="false" ht="15" hidden="false" customHeight="false" outlineLevel="0" collapsed="false">
      <c r="A23" s="0" t="s">
        <v>56</v>
      </c>
    </row>
    <row r="24" customFormat="false" ht="15" hidden="false" customHeight="false" outlineLevel="0" collapsed="false">
      <c r="A24" s="0" t="s">
        <v>57</v>
      </c>
    </row>
    <row r="25" customFormat="false" ht="15" hidden="false" customHeight="false" outlineLevel="0" collapsed="false">
      <c r="A25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2026-01-13T13:39:03Z</dcterms:created>
  <dc:creator>openpyxl</dc:creator>
  <dc:description/>
  <dc:language>en-US</dc:language>
  <cp:lastModifiedBy/>
  <dcterms:modified xsi:type="dcterms:W3CDTF">2026-01-13T13:39:03Z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