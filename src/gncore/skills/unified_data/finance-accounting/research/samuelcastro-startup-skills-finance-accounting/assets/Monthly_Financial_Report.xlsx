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" sheetId="1" state="visible" r:id="rId3"/>
    <sheet name="Cash &amp; Runway" sheetId="2" state="visible" r:id="rId4"/>
    <sheet name="KPI Dashboard" sheetId="3" state="visible" r:id="rId5"/>
    <sheet name="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<sst xmlns="http://schemas.openxmlformats.org/spreadsheetml/2006/main" count="99" uniqueCount="98">
  <si>
    <t xml:space="preserve">INCOME STATEMENT</t>
  </si>
  <si>
    <t xml:space="preserve">Actual</t>
  </si>
  <si>
    <t xml:space="preserve">Budget</t>
  </si>
  <si>
    <t xml:space="preserve">Variance</t>
  </si>
  <si>
    <t xml:space="preserve">Var %</t>
  </si>
  <si>
    <t xml:space="preserve">REVENUE</t>
  </si>
  <si>
    <t xml:space="preserve">Subscription Revenue</t>
  </si>
  <si>
    <t xml:space="preserve">Professional Services</t>
  </si>
  <si>
    <t xml:space="preserve">Other Revenue</t>
  </si>
  <si>
    <t xml:space="preserve">Total Revenue</t>
  </si>
  <si>
    <t xml:space="preserve">COST OF REVENUE</t>
  </si>
  <si>
    <t xml:space="preserve">Hosting &amp; Infrastructure</t>
  </si>
  <si>
    <t xml:space="preserve">Payment Processing</t>
  </si>
  <si>
    <t xml:space="preserve">Customer Support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</si>
  <si>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</si>
  <si>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</si>
  <si>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</si>
  <si>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</si>
  <si>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Sales &amp; Marketing</t>
  </si>
  <si>
    <t xml:space="preserve">Salaries - Sales</t>
  </si>
  <si>
    <t xml:space="preserve">Salaries - Marketing</t>
  </si>
  <si>
    <t xml:space="preserve">Advertising &amp; Paid Media</t>
  </si>
  <si>
    <t xml:space="preserve">Events &amp; Conferences</t>
  </si>
  <si>
    <t xml:space="preserve">Sales Tools</t>
  </si>
  <si>
    <t xml:space="preserve">Total S&amp;M</t>
  </si>
  <si>
    <t xml:space="preserve">Research &amp; Development</t>
  </si>
  <si>
    <t xml:space="preserve">Salaries - Engineering</t>
  </si>
  <si>
    <t xml:space="preserve">Salaries - Product</t>
  </si>
  <si>
    <t xml:space="preserve">Contractors</t>
  </si>
  <si>
    <t xml:space="preserve">Development Tools</t>
  </si>
  <si>
    <t xml:space="preserve">Total R&amp;D</t>
  </si>
  <si>
    <t xml:space="preserve">General &amp; Administrative</t>
  </si>
  <si>
    <t xml:space="preserve">Salaries - Executive</t>
  </si>
  <si>
    <t xml:space="preserve">Legal &amp; Professional</t>
  </si>
  <si>
    <t xml:space="preserve">Accounting &amp; Tax</t>
  </si>
  <si>
    <t xml:space="preserve">Insurance</t>
  </si>
  <si>
    <t xml:space="preserve">Rent &amp; Facilities</t>
  </si>
  <si>
    <t xml:space="preserve">Software (G&amp;A)</t>
  </si>
  <si>
    <t xml:space="preserve">Other G&amp;A</t>
  </si>
  <si>
    <t xml:space="preserve">Total G&amp;A</t>
  </si>
  <si>
    <t xml:space="preserve">Total Operating Expenses</t>
  </si>
  <si>
    <t xml:space="preserve">Operating Income (Loss)</t>
  </si>
  <si>
    <t xml:space="preserve">Net Income (Loss)</t>
  </si>
  <si>
    <t xml:space="preserve">CASH POSITION &amp; RUNWAY</t>
  </si>
  <si>
    <t xml:space="preserve">CASH POSITION</t>
  </si>
  <si>
    <t xml:space="preserve">Beginning Cash</t>
  </si>
  <si>
    <t xml:space="preserve">Net Cash Flow</t>
  </si>
  <si>
    <t xml:space="preserve">Ending Cash</t>
  </si>
  <si>
    <t xml:space="preserve">BURN ANALYSIS</t>
  </si>
  <si>
    <t xml:space="preserve">Gross Burn</t>
  </si>
  <si>
    <t xml:space="preserve">Revenue</t>
  </si>
  <si>
    <t xml:space="preserve">Net Burn</t>
  </si>
  <si>
    <t xml:space="preserve">RUNWAY</t>
  </si>
  <si>
    <t xml:space="preserve">Current Runway (months)</t>
  </si>
  <si>
    <t xml:space="preserve">Target Runway</t>
  </si>
  <si>
    <t xml:space="preserve">BURN MULTIPLE (Quarterly)</t>
  </si>
  <si>
    <t xml:space="preserve">Net Burn (Quarter)</t>
  </si>
  <si>
    <t xml:space="preserve">Net New ARR (Quarter)</t>
  </si>
  <si>
    <t xml:space="preserve">Burn Multiple</t>
  </si>
  <si>
    <t xml:space="preserve">KEY PERFORMANCE INDICATORS</t>
  </si>
  <si>
    <t xml:space="preserve">REVENUE METRICS</t>
  </si>
  <si>
    <t xml:space="preserve">MRR</t>
  </si>
  <si>
    <t xml:space="preserve">ARR</t>
  </si>
  <si>
    <t xml:space="preserve">MoM Growth</t>
  </si>
  <si>
    <t xml:space="preserve">CUSTOMER METRICS</t>
  </si>
  <si>
    <t xml:space="preserve">Total Customers</t>
  </si>
  <si>
    <t xml:space="preserve">New Customers (month)</t>
  </si>
  <si>
    <t xml:space="preserve">Churned Customers (month)</t>
  </si>
  <si>
    <t xml:space="preserve">Net New Customers</t>
  </si>
  <si>
    <t xml:space="preserve">UNIT ECONOMICS</t>
  </si>
  <si>
    <t xml:space="preserve">ARPU (Monthly)</t>
  </si>
  <si>
    <t xml:space="preserve">CAC</t>
  </si>
  <si>
    <t xml:space="preserve">LTV</t>
  </si>
  <si>
    <t xml:space="preserve">LTV:CAC Ratio</t>
  </si>
  <si>
    <t xml:space="preserve">CAC Payback (months)</t>
  </si>
  <si>
    <t xml:space="preserve">EFFICIENCY</t>
  </si>
  <si>
    <t xml:space="preserve">Gross Margin</t>
  </si>
  <si>
    <t xml:space="preserve">Net Revenue Retention</t>
  </si>
  <si>
    <t xml:space="preserve">Rule of 40 Score</t>
  </si>
  <si>
    <t xml:space="preserve">MONTHLY FINANCIAL REPORT - INSTRUCTIONS</t>
  </si>
  <si>
    <t xml:space="preserve">This template helps you prepare board-ready monthly financial reports.</t>
  </si>
  <si>
    <t xml:space="preserve">SHEETS:</t>
  </si>
  <si>
    <t xml:space="preserve">1. P&amp;L (Income Statement)</t>
  </si>
  <si>
    <t xml:space="preserve">   - Enter actual results in 'Actual' column (blue cells)</t>
  </si>
  <si>
    <t xml:space="preserve">   - Enter budget in 'Budget' column (blue cells)</t>
  </si>
  <si>
    <t xml:space="preserve">   - Variance and Var% calculated automatically</t>
  </si>
  <si>
    <t xml:space="preserve">2. Cash &amp; Runway</t>
  </si>
  <si>
    <t xml:space="preserve">   - Track cash position and burn rate</t>
  </si>
  <si>
    <t xml:space="preserve">   - Calculate runway in months</t>
  </si>
  <si>
    <t xml:space="preserve">   - Monitor burn multiple quarterly</t>
  </si>
  <si>
    <t xml:space="preserve">3. KPI Dashboard</t>
  </si>
  <si>
    <t xml:space="preserve">   - Key metrics for board reporting</t>
  </si>
  <si>
    <t xml:space="preserve">   - Revenue, customer, and efficiency metrics</t>
  </si>
  <si>
    <t xml:space="preserve">USAGE TIPS:</t>
  </si>
  <si>
    <t xml:space="preserve">- Blue text = inputs you change</t>
  </si>
  <si>
    <t xml:space="preserve">- Black text = formulas (don't edit)</t>
  </si>
  <si>
    <t xml:space="preserve">- Update monthly after close</t>
  </si>
  <si>
    <t xml:space="preserve">- Compare to prior months for trends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</si>
</sst>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%;\(0.0%\);\-"/>
    <numFmt numFmtId="167" formatCode="0.0%"/>
    <numFmt numFmtId="168" formatCode="\$#,##0"/>
    <numFmt numFmtId="169" formatCode="0.0"/>
    <numFmt numFmtId="170" formatCode="0"/>
    <numFmt numFmtId="171" formatCode="0.0\x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2F3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/>
      <c r="B3" s="2" t="s">
        <v>1</v>
      </c>
      <c r="C3" s="2" t="s">
        <v>2</v>
      </c>
      <c r="D3" s="2" t="s">
        <v>3</v>
      </c>
      <c r="E3" s="2" t="s">
        <v>4</v>
      </c>
    </row>
    <row r="4" customFormat="false" ht="15" hidden="false" customHeight="false" outlineLevel="0" collapsed="false">
      <c r="A4" s="3" t="s">
        <v>5</v>
      </c>
      <c r="B4" s="4"/>
      <c r="C4" s="4"/>
      <c r="D4" s="4"/>
      <c r="E4" s="4"/>
    </row>
    <row r="5" customFormat="false" ht="15" hidden="false" customHeight="false" outlineLevel="0" collapsed="false">
      <c r="A5" s="0" t="s">
        <v>6</v>
      </c>
      <c r="B5" s="5" t="n">
        <v>85000</v>
      </c>
      <c r="C5" s="5" t="n">
        <v>80000</v>
      </c>
      <c r="D5" s="6" t="n">
        <f aca="false">B5-C5</f>
        <v>5000</v>
      </c>
      <c r="E5" s="7" t="n">
        <f aca="false">IF(C5&lt;&gt;0,(B5-C5)/ABS(C5),0)</f>
        <v>0.0625</v>
      </c>
    </row>
    <row r="6" customFormat="false" ht="15" hidden="false" customHeight="false" outlineLevel="0" collapsed="false">
      <c r="A6" s="0" t="s">
        <v>7</v>
      </c>
      <c r="B6" s="5" t="n">
        <v>15000</v>
      </c>
      <c r="C6" s="5" t="n">
        <v>20000</v>
      </c>
      <c r="D6" s="6" t="n">
        <f aca="false">B6-C6</f>
        <v>-5000</v>
      </c>
      <c r="E6" s="7" t="n">
        <f aca="false">IF(C6&lt;&gt;0,(B6-C6)/ABS(C6),0)</f>
        <v>-0.25</v>
      </c>
    </row>
    <row r="7" customFormat="false" ht="15" hidden="false" customHeight="false" outlineLevel="0" collapsed="false">
      <c r="A7" s="0" t="s">
        <v>8</v>
      </c>
      <c r="B7" s="5" t="n">
        <v>0</v>
      </c>
      <c r="C7" s="5" t="n">
        <v>0</v>
      </c>
      <c r="D7" s="6" t="n">
        <f aca="false">B7-C7</f>
        <v>0</v>
      </c>
      <c r="E7" s="7" t="n">
        <f aca="false">IF(C7&lt;&gt;0,(B7-C7)/ABS(C7),0)</f>
        <v>0</v>
      </c>
    </row>
    <row r="8" customFormat="false" ht="15" hidden="false" customHeight="false" outlineLevel="0" collapsed="false">
      <c r="A8" s="8" t="s">
        <v>9</v>
      </c>
      <c r="B8" s="6" t="n">
        <f aca="false">SUM(B5:B7)</f>
        <v>100000</v>
      </c>
      <c r="C8" s="6" t="n">
        <f aca="false">SUM(C5:C7)</f>
        <v>100000</v>
      </c>
      <c r="D8" s="6" t="n">
        <f aca="false">B8-C8</f>
        <v>0</v>
      </c>
      <c r="E8" s="7" t="n">
        <f aca="false">IF(C8&lt;&gt;0,(B8-C8)/ABS(C8),0)</f>
        <v>0</v>
      </c>
    </row>
    <row r="10" customFormat="false" ht="15" hidden="false" customHeight="false" outlineLevel="0" collapsed="false">
      <c r="A10" s="3" t="s">
        <v>10</v>
      </c>
      <c r="B10" s="4"/>
      <c r="C10" s="4"/>
      <c r="D10" s="4"/>
      <c r="E10" s="4"/>
    </row>
    <row r="11" customFormat="false" ht="15" hidden="false" customHeight="false" outlineLevel="0" collapsed="false">
      <c r="A11" s="0" t="s">
        <v>11</v>
      </c>
      <c r="B11" s="5" t="n">
        <v>8000</v>
      </c>
      <c r="C11" s="5" t="n">
        <v>7500</v>
      </c>
      <c r="D11" s="6" t="n">
        <f aca="false">B11-C11</f>
        <v>500</v>
      </c>
      <c r="E11" s="7" t="n">
        <f aca="false">IF(C11&lt;&gt;0,(B11-C11)/ABS(C11),0)</f>
        <v>0.0666666666666667</v>
      </c>
    </row>
    <row r="12" customFormat="false" ht="15" hidden="false" customHeight="false" outlineLevel="0" collapsed="false">
      <c r="A12" s="0" t="s">
        <v>12</v>
      </c>
      <c r="B12" s="5" t="n">
        <v>2500</v>
      </c>
      <c r="C12" s="5" t="n">
        <v>2400</v>
      </c>
      <c r="D12" s="6" t="n">
        <f aca="false">B12-C12</f>
        <v>100</v>
      </c>
      <c r="E12" s="7" t="n">
        <f aca="false">IF(C12&lt;&gt;0,(B12-C12)/ABS(C12),0)</f>
        <v>0.0416666666666667</v>
      </c>
    </row>
    <row r="13" customFormat="false" ht="15" hidden="false" customHeight="false" outlineLevel="0" collapsed="false">
      <c r="A13" s="0" t="s">
        <v>13</v>
      </c>
      <c r="B13" s="5" t="n">
        <v>5000</v>
      </c>
      <c r="C13" s="5" t="n">
        <v>5000</v>
      </c>
      <c r="D13" s="6" t="n">
        <f aca="false">B13-C13</f>
        <v>0</v>
      </c>
      <c r="E13" s="7" t="n">
        <f aca="false">IF(C13&lt;&gt;0,(B13-C13)/ABS(C13),0)</f>
        <v>0</v>
      </c>
    </row>
    <row r="14" customFormat="false" ht="15" hidden="false" customHeight="false" outlineLevel="0" collapsed="false">
      <c r="A14" s="8" t="s">
        <v>14</v>
      </c>
      <c r="B14" s="6" t="n">
        <f aca="false">SUM(B11:B13)</f>
        <v>15500</v>
      </c>
      <c r="C14" s="6" t="n">
        <f aca="false">SUM(C11:C13)</f>
        <v>14900</v>
      </c>
      <c r="D14" s="6" t="n">
        <f aca="false">B14-C14</f>
        <v>600</v>
      </c>
      <c r="E14" s="7" t="n">
        <f aca="false">IF(C14&lt;&gt;0,(B14-C14)/ABS(C14),0)</f>
        <v>0.0402684563758389</v>
      </c>
    </row>
    <row r="16" customFormat="false" ht="15" hidden="false" customHeight="false" outlineLevel="0" collapsed="false">
      <c r="A16" s="8" t="s">
        <v>15</v>
      </c>
      <c r="B16" s="6" t="n">
        <f aca="false">B8-B14</f>
        <v>84500</v>
      </c>
      <c r="C16" s="6" t="n">
        <f aca="false">C8-C14</f>
        <v>85100</v>
      </c>
      <c r="D16" s="6" t="n">
        <f aca="false">B16-C16</f>
        <v>-600</v>
      </c>
      <c r="E16" s="7" t="n">
        <f aca="false">IF(C16&lt;&gt;0,(B16-C16)/ABS(C16),0)</f>
        <v>-0.00705052878965923</v>
      </c>
    </row>
    <row r="17" customFormat="false" ht="15" hidden="false" customHeight="false" outlineLevel="0" collapsed="false">
      <c r="A17" s="8" t="s">
        <v>16</v>
      </c>
      <c r="B17" s="9" t="n">
        <f aca="false">IF(B8&gt;0,B16/B8,0)</f>
        <v>0.845</v>
      </c>
      <c r="C17" s="9" t="n">
        <f aca="false">IF(C8&gt;0,C16/C8,0)</f>
        <v>0.851</v>
      </c>
      <c r="D17" s="9" t="n">
        <f aca="false">B17-C17</f>
        <v>-0.00600000000000001</v>
      </c>
      <c r="E17" s="7" t="n">
        <f aca="false">IF(C17&lt;&gt;0,(B17-C17)/ABS(C17),0)</f>
        <v>-0.00705052878965923</v>
      </c>
    </row>
    <row r="19" customFormat="false" ht="15" hidden="false" customHeight="false" outlineLevel="0" collapsed="false">
      <c r="A19" s="3" t="s">
        <v>17</v>
      </c>
      <c r="B19" s="4"/>
      <c r="C19" s="4"/>
      <c r="D19" s="4"/>
      <c r="E19" s="4"/>
    </row>
    <row r="21" customFormat="false" ht="15" hidden="false" customHeight="false" outlineLevel="0" collapsed="false">
      <c r="A21" s="3" t="s">
        <v>18</v>
      </c>
      <c r="B21" s="4"/>
      <c r="C21" s="4"/>
      <c r="D21" s="4"/>
      <c r="E21" s="4"/>
    </row>
    <row r="22" customFormat="false" ht="15" hidden="false" customHeight="false" outlineLevel="0" collapsed="false">
      <c r="A22" s="0" t="s">
        <v>19</v>
      </c>
      <c r="B22" s="5" t="n">
        <v>25000</v>
      </c>
      <c r="C22" s="5" t="n">
        <v>25000</v>
      </c>
      <c r="D22" s="6" t="n">
        <f aca="false">B22-C22</f>
        <v>0</v>
      </c>
      <c r="E22" s="7" t="n">
        <f aca="false">IF(C22&lt;&gt;0,(B22-C22)/ABS(C22),0)</f>
        <v>0</v>
      </c>
    </row>
    <row r="23" customFormat="false" ht="15" hidden="false" customHeight="false" outlineLevel="0" collapsed="false">
      <c r="A23" s="0" t="s">
        <v>20</v>
      </c>
      <c r="B23" s="5" t="n">
        <v>15000</v>
      </c>
      <c r="C23" s="5" t="n">
        <v>15000</v>
      </c>
      <c r="D23" s="6" t="n">
        <f aca="false">B23-C23</f>
        <v>0</v>
      </c>
      <c r="E23" s="7" t="n">
        <f aca="false">IF(C23&lt;&gt;0,(B23-C23)/ABS(C23),0)</f>
        <v>0</v>
      </c>
    </row>
    <row r="24" customFormat="false" ht="15" hidden="false" customHeight="false" outlineLevel="0" collapsed="false">
      <c r="A24" s="0" t="s">
        <v>21</v>
      </c>
      <c r="B24" s="5" t="n">
        <v>10000</v>
      </c>
      <c r="C24" s="5" t="n">
        <v>12000</v>
      </c>
      <c r="D24" s="6" t="n">
        <f aca="false">B24-C24</f>
        <v>-2000</v>
      </c>
      <c r="E24" s="7" t="n">
        <f aca="false">IF(C24&lt;&gt;0,(B24-C24)/ABS(C24),0)</f>
        <v>-0.166666666666667</v>
      </c>
    </row>
    <row r="25" customFormat="false" ht="15" hidden="false" customHeight="false" outlineLevel="0" collapsed="false">
      <c r="A25" s="0" t="s">
        <v>22</v>
      </c>
      <c r="B25" s="5" t="n">
        <v>2000</v>
      </c>
      <c r="C25" s="5" t="n">
        <v>3000</v>
      </c>
      <c r="D25" s="6" t="n">
        <f aca="false">B25-C25</f>
        <v>-1000</v>
      </c>
      <c r="E25" s="7" t="n">
        <f aca="false">IF(C25&lt;&gt;0,(B25-C25)/ABS(C25),0)</f>
        <v>-0.333333333333333</v>
      </c>
    </row>
    <row r="26" customFormat="false" ht="15" hidden="false" customHeight="false" outlineLevel="0" collapsed="false">
      <c r="A26" s="0" t="s">
        <v>23</v>
      </c>
      <c r="B26" s="5" t="n">
        <v>1500</v>
      </c>
      <c r="C26" s="5" t="n">
        <v>1500</v>
      </c>
      <c r="D26" s="6" t="n">
        <f aca="false">B26-C26</f>
        <v>0</v>
      </c>
      <c r="E26" s="7" t="n">
        <f aca="false">IF(C26&lt;&gt;0,(B26-C26)/ABS(C26),0)</f>
        <v>0</v>
      </c>
    </row>
    <row r="27" customFormat="false" ht="15" hidden="false" customHeight="false" outlineLevel="0" collapsed="false">
      <c r="A27" s="8" t="s">
        <v>24</v>
      </c>
      <c r="B27" s="6" t="n">
        <f aca="false">SUM(B22:B26)</f>
        <v>53500</v>
      </c>
      <c r="C27" s="6" t="n">
        <f aca="false">SUM(C22:C26)</f>
        <v>56500</v>
      </c>
      <c r="D27" s="6" t="n">
        <f aca="false">B27-C27</f>
        <v>-3000</v>
      </c>
      <c r="E27" s="7" t="n">
        <f aca="false">IF(C27&lt;&gt;0,(B27-C27)/ABS(C27),0)</f>
        <v>-0.0530973451327434</v>
      </c>
    </row>
    <row r="29" customFormat="false" ht="15" hidden="false" customHeight="false" outlineLevel="0" collapsed="false">
      <c r="A29" s="3" t="s">
        <v>25</v>
      </c>
      <c r="B29" s="4"/>
      <c r="C29" s="4"/>
      <c r="D29" s="4"/>
      <c r="E29" s="4"/>
    </row>
    <row r="30" customFormat="false" ht="15" hidden="false" customHeight="false" outlineLevel="0" collapsed="false">
      <c r="A30" s="0" t="s">
        <v>26</v>
      </c>
      <c r="B30" s="5" t="n">
        <v>45000</v>
      </c>
      <c r="C30" s="5" t="n">
        <v>45000</v>
      </c>
      <c r="D30" s="6" t="n">
        <f aca="false">B30-C30</f>
        <v>0</v>
      </c>
      <c r="E30" s="7" t="n">
        <f aca="false">IF(C30&lt;&gt;0,(B30-C30)/ABS(C30),0)</f>
        <v>0</v>
      </c>
    </row>
    <row r="31" customFormat="false" ht="15" hidden="false" customHeight="false" outlineLevel="0" collapsed="false">
      <c r="A31" s="0" t="s">
        <v>27</v>
      </c>
      <c r="B31" s="5" t="n">
        <v>12000</v>
      </c>
      <c r="C31" s="5" t="n">
        <v>12000</v>
      </c>
      <c r="D31" s="6" t="n">
        <f aca="false">B31-C31</f>
        <v>0</v>
      </c>
      <c r="E31" s="7" t="n">
        <f aca="false">IF(C31&lt;&gt;0,(B31-C31)/ABS(C31),0)</f>
        <v>0</v>
      </c>
    </row>
    <row r="32" customFormat="false" ht="15" hidden="false" customHeight="false" outlineLevel="0" collapsed="false">
      <c r="A32" s="0" t="s">
        <v>28</v>
      </c>
      <c r="B32" s="5" t="n">
        <v>5000</v>
      </c>
      <c r="C32" s="5" t="n">
        <v>8000</v>
      </c>
      <c r="D32" s="6" t="n">
        <f aca="false">B32-C32</f>
        <v>-3000</v>
      </c>
      <c r="E32" s="7" t="n">
        <f aca="false">IF(C32&lt;&gt;0,(B32-C32)/ABS(C32),0)</f>
        <v>-0.375</v>
      </c>
    </row>
    <row r="33" customFormat="false" ht="15" hidden="false" customHeight="false" outlineLevel="0" collapsed="false">
      <c r="A33" s="0" t="s">
        <v>29</v>
      </c>
      <c r="B33" s="5" t="n">
        <v>2000</v>
      </c>
      <c r="C33" s="5" t="n">
        <v>2000</v>
      </c>
      <c r="D33" s="6" t="n">
        <f aca="false">B33-C33</f>
        <v>0</v>
      </c>
      <c r="E33" s="7" t="n">
        <f aca="false">IF(C33&lt;&gt;0,(B33-C33)/ABS(C33),0)</f>
        <v>0</v>
      </c>
    </row>
    <row r="34" customFormat="false" ht="15" hidden="false" customHeight="false" outlineLevel="0" collapsed="false">
      <c r="A34" s="8" t="s">
        <v>30</v>
      </c>
      <c r="B34" s="6" t="n">
        <f aca="false">SUM(B30:B33)</f>
        <v>64000</v>
      </c>
      <c r="C34" s="6" t="n">
        <f aca="false">SUM(C30:C33)</f>
        <v>67000</v>
      </c>
      <c r="D34" s="6" t="n">
        <f aca="false">B34-C34</f>
        <v>-3000</v>
      </c>
      <c r="E34" s="7" t="n">
        <f aca="false">IF(C34&lt;&gt;0,(B34-C34)/ABS(C34),0)</f>
        <v>-0.0447761194029851</v>
      </c>
    </row>
    <row r="36" customFormat="false" ht="15" hidden="false" customHeight="false" outlineLevel="0" collapsed="false">
      <c r="A36" s="3" t="s">
        <v>31</v>
      </c>
      <c r="B36" s="4"/>
      <c r="C36" s="4"/>
      <c r="D36" s="4"/>
      <c r="E36" s="4"/>
    </row>
    <row r="37" customFormat="false" ht="15" hidden="false" customHeight="false" outlineLevel="0" collapsed="false">
      <c r="A37" s="0" t="s">
        <v>32</v>
      </c>
      <c r="B37" s="5" t="n">
        <v>20000</v>
      </c>
      <c r="C37" s="5" t="n">
        <v>20000</v>
      </c>
      <c r="D37" s="6" t="n">
        <f aca="false">B37-C37</f>
        <v>0</v>
      </c>
      <c r="E37" s="7" t="n">
        <f aca="false">IF(C37&lt;&gt;0,(B37-C37)/ABS(C37),0)</f>
        <v>0</v>
      </c>
    </row>
    <row r="38" customFormat="false" ht="15" hidden="false" customHeight="false" outlineLevel="0" collapsed="false">
      <c r="A38" s="0" t="s">
        <v>33</v>
      </c>
      <c r="B38" s="5" t="n">
        <v>3000</v>
      </c>
      <c r="C38" s="5" t="n">
        <v>2500</v>
      </c>
      <c r="D38" s="6" t="n">
        <f aca="false">B38-C38</f>
        <v>500</v>
      </c>
      <c r="E38" s="7" t="n">
        <f aca="false">IF(C38&lt;&gt;0,(B38-C38)/ABS(C38),0)</f>
        <v>0.2</v>
      </c>
    </row>
    <row r="39" customFormat="false" ht="15" hidden="false" customHeight="false" outlineLevel="0" collapsed="false">
      <c r="A39" s="0" t="s">
        <v>34</v>
      </c>
      <c r="B39" s="5" t="n">
        <v>1500</v>
      </c>
      <c r="C39" s="5" t="n">
        <v>1500</v>
      </c>
      <c r="D39" s="6" t="n">
        <f aca="false">B39-C39</f>
        <v>0</v>
      </c>
      <c r="E39" s="7" t="n">
        <f aca="false">IF(C39&lt;&gt;0,(B39-C39)/ABS(C39),0)</f>
        <v>0</v>
      </c>
    </row>
    <row r="40" customFormat="false" ht="15" hidden="false" customHeight="false" outlineLevel="0" collapsed="false">
      <c r="A40" s="0" t="s">
        <v>35</v>
      </c>
      <c r="B40" s="5" t="n">
        <v>1000</v>
      </c>
      <c r="C40" s="5" t="n">
        <v>1000</v>
      </c>
      <c r="D40" s="6" t="n">
        <f aca="false">B40-C40</f>
        <v>0</v>
      </c>
      <c r="E40" s="7" t="n">
        <f aca="false">IF(C40&lt;&gt;0,(B40-C40)/ABS(C40),0)</f>
        <v>0</v>
      </c>
    </row>
    <row r="41" customFormat="false" ht="15" hidden="false" customHeight="false" outlineLevel="0" collapsed="false">
      <c r="A41" s="0" t="s">
        <v>36</v>
      </c>
      <c r="B41" s="5" t="n">
        <v>4000</v>
      </c>
      <c r="C41" s="5" t="n">
        <v>4000</v>
      </c>
      <c r="D41" s="6" t="n">
        <f aca="false">B41-C41</f>
        <v>0</v>
      </c>
      <c r="E41" s="7" t="n">
        <f aca="false">IF(C41&lt;&gt;0,(B41-C41)/ABS(C41),0)</f>
        <v>0</v>
      </c>
    </row>
    <row r="42" customFormat="false" ht="15" hidden="false" customHeight="false" outlineLevel="0" collapsed="false">
      <c r="A42" s="0" t="s">
        <v>37</v>
      </c>
      <c r="B42" s="5" t="n">
        <v>2000</v>
      </c>
      <c r="C42" s="5" t="n">
        <v>2000</v>
      </c>
      <c r="D42" s="6" t="n">
        <f aca="false">B42-C42</f>
        <v>0</v>
      </c>
      <c r="E42" s="7" t="n">
        <f aca="false">IF(C42&lt;&gt;0,(B42-C42)/ABS(C42),0)</f>
        <v>0</v>
      </c>
    </row>
    <row r="43" customFormat="false" ht="15" hidden="false" customHeight="false" outlineLevel="0" collapsed="false">
      <c r="A43" s="0" t="s">
        <v>38</v>
      </c>
      <c r="B43" s="5" t="n">
        <v>500</v>
      </c>
      <c r="C43" s="5" t="n">
        <v>1000</v>
      </c>
      <c r="D43" s="6" t="n">
        <f aca="false">B43-C43</f>
        <v>-500</v>
      </c>
      <c r="E43" s="7" t="n">
        <f aca="false">IF(C43&lt;&gt;0,(B43-C43)/ABS(C43),0)</f>
        <v>-0.5</v>
      </c>
    </row>
    <row r="44" customFormat="false" ht="15" hidden="false" customHeight="false" outlineLevel="0" collapsed="false">
      <c r="A44" s="8" t="s">
        <v>39</v>
      </c>
      <c r="B44" s="6" t="n">
        <f aca="false">SUM(B37:B43)</f>
        <v>32000</v>
      </c>
      <c r="C44" s="6" t="n">
        <f aca="false">SUM(C37:C43)</f>
        <v>32000</v>
      </c>
      <c r="D44" s="6" t="n">
        <f aca="false">B44-C44</f>
        <v>0</v>
      </c>
      <c r="E44" s="7" t="n">
        <f aca="false">IF(C44&lt;&gt;0,(B44-C44)/ABS(C44),0)</f>
        <v>0</v>
      </c>
    </row>
    <row r="46" customFormat="false" ht="15" hidden="false" customHeight="false" outlineLevel="0" collapsed="false">
      <c r="A46" s="8" t="s">
        <v>40</v>
      </c>
      <c r="B46" s="6" t="n">
        <f aca="false">B27+B34+B44</f>
        <v>149500</v>
      </c>
      <c r="C46" s="6" t="n">
        <f aca="false">C27+C34+C44</f>
        <v>155500</v>
      </c>
      <c r="D46" s="6" t="n">
        <f aca="false">B46-C46</f>
        <v>-6000</v>
      </c>
      <c r="E46" s="7" t="n">
        <f aca="false">IF(C46&lt;&gt;0,(B46-C46)/ABS(C46),0)</f>
        <v>-0.0385852090032154</v>
      </c>
    </row>
    <row r="48" customFormat="false" ht="15" hidden="false" customHeight="false" outlineLevel="0" collapsed="false">
      <c r="A48" s="8" t="s">
        <v>41</v>
      </c>
      <c r="B48" s="6" t="n">
        <f aca="false">B16-B46</f>
        <v>-65000</v>
      </c>
      <c r="C48" s="6" t="n">
        <f aca="false">C16-C46</f>
        <v>-70400</v>
      </c>
      <c r="D48" s="6" t="n">
        <f aca="false">B48-C48</f>
        <v>5400</v>
      </c>
      <c r="E48" s="7" t="n">
        <f aca="false">IF(C48&lt;&gt;0,(B48-C48)/ABS(C48),0)</f>
        <v>0.0767045454545455</v>
      </c>
    </row>
    <row r="50" customFormat="false" ht="15" hidden="false" customHeight="false" outlineLevel="0" collapsed="false">
      <c r="A50" s="8" t="s">
        <v>42</v>
      </c>
      <c r="B50" s="6" t="n">
        <f aca="false">B48</f>
        <v>-65000</v>
      </c>
      <c r="C50" s="6" t="n">
        <f aca="false">C48</f>
        <v>-70400</v>
      </c>
      <c r="D50" s="6" t="n">
        <f aca="false">B50-C50</f>
        <v>5400</v>
      </c>
      <c r="E50" s="7" t="n">
        <f aca="false">IF(C50&lt;&gt;0,(B50-C50)/ABS(C50),0)</f>
        <v>0.0767045454545455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0" t="s">
        <v>43</v>
      </c>
    </row>
    <row r="3" customFormat="false" ht="15" hidden="false" customHeight="false" outlineLevel="0" collapsed="false">
      <c r="A3" s="3" t="s">
        <v>44</v>
      </c>
      <c r="B3" s="4"/>
    </row>
    <row r="4" customFormat="false" ht="15" hidden="false" customHeight="false" outlineLevel="0" collapsed="false">
      <c r="A4" s="0" t="s">
        <v>45</v>
      </c>
      <c r="B4" s="11" t="n">
        <v>2000000</v>
      </c>
    </row>
    <row r="5" customFormat="false" ht="15" hidden="false" customHeight="false" outlineLevel="0" collapsed="false">
      <c r="A5" s="0" t="s">
        <v>46</v>
      </c>
      <c r="B5" s="11" t="n">
        <v>-85000</v>
      </c>
    </row>
    <row r="6" customFormat="false" ht="15" hidden="false" customHeight="false" outlineLevel="0" collapsed="false">
      <c r="A6" s="0" t="s">
        <v>47</v>
      </c>
      <c r="B6" s="12" t="n">
        <f aca="false">B4+B5</f>
        <v>1915000</v>
      </c>
    </row>
    <row r="8" customFormat="false" ht="15" hidden="false" customHeight="false" outlineLevel="0" collapsed="false">
      <c r="A8" s="3" t="s">
        <v>48</v>
      </c>
      <c r="B8" s="4"/>
    </row>
    <row r="9" customFormat="false" ht="15" hidden="false" customHeight="false" outlineLevel="0" collapsed="false">
      <c r="A9" s="0" t="s">
        <v>49</v>
      </c>
      <c r="B9" s="11" t="n">
        <v>170000</v>
      </c>
    </row>
    <row r="10" customFormat="false" ht="15" hidden="false" customHeight="false" outlineLevel="0" collapsed="false">
      <c r="A10" s="0" t="s">
        <v>50</v>
      </c>
      <c r="B10" s="11" t="n">
        <v>100000</v>
      </c>
    </row>
    <row r="11" customFormat="false" ht="15" hidden="false" customHeight="false" outlineLevel="0" collapsed="false">
      <c r="A11" s="0" t="s">
        <v>51</v>
      </c>
      <c r="B11" s="12" t="n">
        <f aca="false">B9-B10</f>
        <v>70000</v>
      </c>
    </row>
    <row r="13" customFormat="false" ht="15" hidden="false" customHeight="false" outlineLevel="0" collapsed="false">
      <c r="A13" s="3" t="s">
        <v>52</v>
      </c>
      <c r="B13" s="4"/>
    </row>
    <row r="14" customFormat="false" ht="15" hidden="false" customHeight="false" outlineLevel="0" collapsed="false">
      <c r="A14" s="0" t="s">
        <v>53</v>
      </c>
      <c r="B14" s="13" t="n">
        <f aca="false">IF(B11&gt;0,B6/B11,0)</f>
        <v>27.3571428571429</v>
      </c>
    </row>
    <row r="15" customFormat="false" ht="15" hidden="false" customHeight="false" outlineLevel="0" collapsed="false">
      <c r="A15" s="0" t="s">
        <v>54</v>
      </c>
      <c r="B15" s="14" t="n">
        <v>24</v>
      </c>
    </row>
    <row r="16" customFormat="false" ht="15" hidden="false" customHeight="false" outlineLevel="0" collapsed="false">
      <c r="A16" s="0" t="s">
        <v>3</v>
      </c>
      <c r="B16" s="13" t="n">
        <f aca="false">B14-B15</f>
        <v>3.35714285714286</v>
      </c>
    </row>
    <row r="18" customFormat="false" ht="15" hidden="false" customHeight="false" outlineLevel="0" collapsed="false">
      <c r="A18" s="3" t="s">
        <v>55</v>
      </c>
      <c r="B18" s="4"/>
    </row>
    <row r="19" customFormat="false" ht="15" hidden="false" customHeight="false" outlineLevel="0" collapsed="false">
      <c r="A19" s="0" t="s">
        <v>56</v>
      </c>
      <c r="B19" s="11" t="n">
        <v>255000</v>
      </c>
    </row>
    <row r="20" customFormat="false" ht="15" hidden="false" customHeight="false" outlineLevel="0" collapsed="false">
      <c r="A20" s="0" t="s">
        <v>57</v>
      </c>
      <c r="B20" s="11" t="n">
        <v>180000</v>
      </c>
    </row>
    <row r="21" customFormat="false" ht="15" hidden="false" customHeight="false" outlineLevel="0" collapsed="false">
      <c r="A21" s="0" t="s">
        <v>58</v>
      </c>
      <c r="B21" s="15" t="n">
        <f aca="false">IF(B20&gt;0,B19/B20,"N/A")</f>
        <v>1.41666666666667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0" t="s">
        <v>59</v>
      </c>
    </row>
    <row r="3" customFormat="false" ht="15" hidden="false" customHeight="false" outlineLevel="0" collapsed="false">
      <c r="A3" s="3" t="s">
        <v>60</v>
      </c>
      <c r="B3" s="4"/>
    </row>
    <row r="4" customFormat="false" ht="15" hidden="false" customHeight="false" outlineLevel="0" collapsed="false">
      <c r="A4" s="0" t="s">
        <v>61</v>
      </c>
      <c r="B4" s="11" t="n">
        <v>85000</v>
      </c>
    </row>
    <row r="5" customFormat="false" ht="15" hidden="false" customHeight="false" outlineLevel="0" collapsed="false">
      <c r="A5" s="0" t="s">
        <v>62</v>
      </c>
      <c r="B5" s="12" t="n">
        <f aca="false">B4*12</f>
        <v>1020000</v>
      </c>
    </row>
    <row r="6" customFormat="false" ht="15" hidden="false" customHeight="false" outlineLevel="0" collapsed="false">
      <c r="A6" s="0" t="s">
        <v>63</v>
      </c>
      <c r="B6" s="16" t="n">
        <v>0.08</v>
      </c>
    </row>
    <row r="8" customFormat="false" ht="15" hidden="false" customHeight="false" outlineLevel="0" collapsed="false">
      <c r="A8" s="3" t="s">
        <v>64</v>
      </c>
      <c r="B8" s="4"/>
    </row>
    <row r="9" customFormat="false" ht="15" hidden="false" customHeight="false" outlineLevel="0" collapsed="false">
      <c r="A9" s="0" t="s">
        <v>65</v>
      </c>
      <c r="B9" s="14" t="n">
        <v>120</v>
      </c>
    </row>
    <row r="10" customFormat="false" ht="15" hidden="false" customHeight="false" outlineLevel="0" collapsed="false">
      <c r="A10" s="0" t="s">
        <v>66</v>
      </c>
      <c r="B10" s="14" t="n">
        <v>15</v>
      </c>
    </row>
    <row r="11" customFormat="false" ht="15" hidden="false" customHeight="false" outlineLevel="0" collapsed="false">
      <c r="A11" s="0" t="s">
        <v>67</v>
      </c>
      <c r="B11" s="14" t="n">
        <v>5</v>
      </c>
    </row>
    <row r="12" customFormat="false" ht="15" hidden="false" customHeight="false" outlineLevel="0" collapsed="false">
      <c r="A12" s="0" t="s">
        <v>68</v>
      </c>
      <c r="B12" s="17" t="n">
        <f aca="false">B10-B11</f>
        <v>10</v>
      </c>
    </row>
    <row r="14" customFormat="false" ht="15" hidden="false" customHeight="false" outlineLevel="0" collapsed="false">
      <c r="A14" s="3" t="s">
        <v>69</v>
      </c>
      <c r="B14" s="4"/>
    </row>
    <row r="15" customFormat="false" ht="15" hidden="false" customHeight="false" outlineLevel="0" collapsed="false">
      <c r="A15" s="0" t="s">
        <v>70</v>
      </c>
      <c r="B15" s="12" t="n">
        <f aca="false">IF(B9&gt;0,B4/B9,0)</f>
        <v>708.333333333333</v>
      </c>
    </row>
    <row r="16" customFormat="false" ht="15" hidden="false" customHeight="false" outlineLevel="0" collapsed="false">
      <c r="A16" s="0" t="s">
        <v>71</v>
      </c>
      <c r="B16" s="11" t="n">
        <v>800</v>
      </c>
    </row>
    <row r="17" customFormat="false" ht="15" hidden="false" customHeight="false" outlineLevel="0" collapsed="false">
      <c r="A17" s="0" t="s">
        <v>72</v>
      </c>
      <c r="B17" s="11" t="n">
        <v>4200</v>
      </c>
    </row>
    <row r="18" customFormat="false" ht="15" hidden="false" customHeight="false" outlineLevel="0" collapsed="false">
      <c r="A18" s="0" t="s">
        <v>73</v>
      </c>
      <c r="B18" s="15" t="n">
        <f aca="false">IF(B16&gt;0,B17/B16,0)</f>
        <v>5.25</v>
      </c>
    </row>
    <row r="19" customFormat="false" ht="15" hidden="false" customHeight="false" outlineLevel="0" collapsed="false">
      <c r="A19" s="0" t="s">
        <v>74</v>
      </c>
      <c r="B19" s="13" t="n">
        <f aca="false">IF(B15&gt;0,B16/B15,0)</f>
        <v>1.12941176470588</v>
      </c>
    </row>
    <row r="21" customFormat="false" ht="15" hidden="false" customHeight="false" outlineLevel="0" collapsed="false">
      <c r="A21" s="3" t="s">
        <v>75</v>
      </c>
      <c r="B21" s="4"/>
    </row>
    <row r="22" customFormat="false" ht="15" hidden="false" customHeight="false" outlineLevel="0" collapsed="false">
      <c r="A22" s="0" t="s">
        <v>76</v>
      </c>
      <c r="B22" s="16" t="n">
        <v>0.75</v>
      </c>
    </row>
    <row r="23" customFormat="false" ht="15" hidden="false" customHeight="false" outlineLevel="0" collapsed="false">
      <c r="A23" s="0" t="s">
        <v>77</v>
      </c>
      <c r="B23" s="16" t="n">
        <v>1.05</v>
      </c>
    </row>
    <row r="24" customFormat="false" ht="15" hidden="false" customHeight="false" outlineLevel="0" collapsed="false">
      <c r="A24" s="0" t="s">
        <v>78</v>
      </c>
      <c r="B24" s="17" t="n">
        <f aca="false">B6*100+B22*100-100</f>
        <v>-17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7.35" hidden="false" customHeight="false" outlineLevel="0" collapsed="false">
      <c r="A1" s="10" t="s">
        <v>79</v>
      </c>
    </row>
    <row r="3" customFormat="false" ht="15" hidden="false" customHeight="false" outlineLevel="0" collapsed="false">
      <c r="A3" s="0" t="s">
        <v>80</v>
      </c>
    </row>
    <row r="5" customFormat="false" ht="15" hidden="false" customHeight="false" outlineLevel="0" collapsed="false">
      <c r="A5" s="0" t="s">
        <v>81</v>
      </c>
    </row>
    <row r="7" customFormat="false" ht="15" hidden="false" customHeight="false" outlineLevel="0" collapsed="false">
      <c r="A7" s="0" t="s">
        <v>82</v>
      </c>
    </row>
    <row r="8" customFormat="false" ht="15" hidden="false" customHeight="false" outlineLevel="0" collapsed="false">
      <c r="A8" s="0" t="s">
        <v>83</v>
      </c>
    </row>
    <row r="9" customFormat="false" ht="15" hidden="false" customHeight="false" outlineLevel="0" collapsed="false">
      <c r="A9" s="0" t="s">
        <v>84</v>
      </c>
    </row>
    <row r="10" customFormat="false" ht="15" hidden="false" customHeight="false" outlineLevel="0" collapsed="false">
      <c r="A10" s="0" t="s">
        <v>85</v>
      </c>
    </row>
    <row r="12" customFormat="false" ht="15" hidden="false" customHeight="false" outlineLevel="0" collapsed="false">
      <c r="A12" s="0" t="s">
        <v>86</v>
      </c>
    </row>
    <row r="13" customFormat="false" ht="15" hidden="false" customHeight="false" outlineLevel="0" collapsed="false">
      <c r="A13" s="0" t="s">
        <v>87</v>
      </c>
    </row>
    <row r="14" customFormat="false" ht="15" hidden="false" customHeight="false" outlineLevel="0" collapsed="false">
      <c r="A14" s="0" t="s">
        <v>88</v>
      </c>
    </row>
    <row r="15" customFormat="false" ht="15" hidden="false" customHeight="false" outlineLevel="0" collapsed="false">
      <c r="A15" s="0" t="s">
        <v>89</v>
      </c>
    </row>
    <row r="17" customFormat="false" ht="15" hidden="false" customHeight="false" outlineLevel="0" collapsed="false">
      <c r="A17" s="0" t="s">
        <v>90</v>
      </c>
    </row>
    <row r="18" customFormat="false" ht="15" hidden="false" customHeight="false" outlineLevel="0" collapsed="false">
      <c r="A18" s="0" t="s">
        <v>91</v>
      </c>
    </row>
    <row r="19" customFormat="false" ht="15" hidden="false" customHeight="false" outlineLevel="0" collapsed="false">
      <c r="A19" s="0" t="s">
        <v>92</v>
      </c>
    </row>
    <row r="21" customFormat="false" ht="15" hidden="false" customHeight="false" outlineLevel="0" collapsed="false">
      <c r="A21" s="0" t="s">
        <v>93</v>
      </c>
    </row>
    <row r="22" customFormat="false" ht="15" hidden="false" customHeight="false" outlineLevel="0" collapsed="false">
      <c r="A22" s="0" t="s">
        <v>94</v>
      </c>
    </row>
    <row r="23" customFormat="false" ht="15" hidden="false" customHeight="false" outlineLevel="0" collapsed="false">
      <c r="A23" s="0" t="s">
        <v>95</v>
      </c>
    </row>
    <row r="24" customFormat="false" ht="15" hidden="false" customHeight="false" outlineLevel="0" collapsed="false">
      <c r="A24" s="0" t="s">
        <v>96</v>
      </c>
    </row>
    <row r="25" customFormat="false" ht="15" hidden="false" customHeight="false" outlineLevel="0" collapsed="false">
      <c r="A25" s="0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2026-01-13T13:40:53Z</dcterms:created>
  <dc:creator>openpyxl</dc:creator>
  <dc:description/>
  <dc:language>en-US</dc:language>
  <cp:lastModifiedBy/>
  <dcterms:modified xsi:type="dcterms:W3CDTF">2026-01-13T13:40:53Z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